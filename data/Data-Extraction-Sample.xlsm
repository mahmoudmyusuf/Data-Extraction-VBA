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never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opr1141\Desktop\"/>
    </mc:Choice>
  </mc:AlternateContent>
  <bookViews>
    <workbookView xWindow="0" yWindow="0" windowWidth="28800" windowHeight="12435"/>
  </bookViews>
  <sheets>
    <sheet name="Data" sheetId="8" r:id="rId1"/>
  </sheets>
  <externalReferences>
    <externalReference r:id="rId2"/>
    <externalReference r:id="rId3"/>
  </externalReferences>
  <definedNames>
    <definedName name="corrective">#REF!</definedName>
    <definedName name="Descipline">#REF!</definedName>
    <definedName name="Description">#REF!</definedName>
    <definedName name="Equipment">#REF!</definedName>
    <definedName name="index">#REF!</definedName>
    <definedName name="isolation">#REF!</definedName>
    <definedName name="location">#REF!</definedName>
    <definedName name="My_Rng">Data!$A$11:$A$1048576</definedName>
    <definedName name="MyFilesList">FILES([1]FileList!#REF!)</definedName>
    <definedName name="permit">#REF!</definedName>
    <definedName name="psic">#REF!</definedName>
    <definedName name="PTW">#REF!</definedName>
    <definedName name="SD">#REF!</definedName>
    <definedName name="Time">#REF!</definedName>
    <definedName name="type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9" i="8" l="1"/>
  <c r="H9" i="8"/>
  <c r="G9" i="8"/>
  <c r="D9" i="8"/>
  <c r="E7" i="8"/>
  <c r="W4" i="8" l="1"/>
  <c r="T2" i="8" l="1"/>
  <c r="T4" i="8"/>
  <c r="T3" i="8"/>
</calcChain>
</file>

<file path=xl/comments1.xml><?xml version="1.0" encoding="utf-8"?>
<comments xmlns="http://schemas.openxmlformats.org/spreadsheetml/2006/main">
  <authors>
    <author>Mahmoud A.Aziz Yusuf</author>
  </authors>
  <commentList>
    <comment ref="E8" authorId="0" shapeId="0">
      <text>
        <r>
          <rPr>
            <b/>
            <sz val="9"/>
            <color indexed="81"/>
            <rFont val="Tahoma"/>
            <family val="2"/>
          </rPr>
          <t>Mahmoud A.Aziz Yusuf:</t>
        </r>
        <r>
          <rPr>
            <sz val="9"/>
            <color indexed="81"/>
            <rFont val="Tahoma"/>
            <family val="2"/>
          </rPr>
          <t xml:space="preserve">
To Check Repeated Report Based on Date,
You can Make based on any Data
</t>
        </r>
      </text>
    </comment>
  </commentList>
</comments>
</file>

<file path=xl/sharedStrings.xml><?xml version="1.0" encoding="utf-8"?>
<sst xmlns="http://schemas.openxmlformats.org/spreadsheetml/2006/main" count="40" uniqueCount="29">
  <si>
    <t>SCFD</t>
  </si>
  <si>
    <t>File</t>
  </si>
  <si>
    <t>Last Edit</t>
  </si>
  <si>
    <t>Report-Date</t>
  </si>
  <si>
    <t>Repeat</t>
  </si>
  <si>
    <t>Produced-Total</t>
  </si>
  <si>
    <t>*****</t>
  </si>
  <si>
    <t>***</t>
  </si>
  <si>
    <t>Host Folder</t>
  </si>
  <si>
    <t>Folder</t>
  </si>
  <si>
    <t>contins</t>
  </si>
  <si>
    <t>type</t>
  </si>
  <si>
    <t>xlsx</t>
  </si>
  <si>
    <t>Files</t>
  </si>
  <si>
    <t>Used in code-input</t>
  </si>
  <si>
    <t>Path</t>
  </si>
  <si>
    <t>*</t>
  </si>
  <si>
    <t>Last_update</t>
  </si>
  <si>
    <t>curr_Link</t>
  </si>
  <si>
    <t>New_files</t>
  </si>
  <si>
    <t>\\rb.win2k.dom\shares\i-DepShares\production\Daily  production report (Burullus)\Daily Report 2025\01 Jan. 25\Gas Reports\WDDM  Hub D.P.R-25 Jan. 2025.xlsx</t>
  </si>
  <si>
    <t>C:\Updated</t>
  </si>
  <si>
    <t>Hub</t>
  </si>
  <si>
    <t>Report</t>
  </si>
  <si>
    <r>
      <t xml:space="preserve">Title Here </t>
    </r>
    <r>
      <rPr>
        <b/>
        <sz val="9"/>
        <color rgb="FF0070C0"/>
        <rFont val="Calibri"/>
        <family val="2"/>
      </rPr>
      <t>→</t>
    </r>
  </si>
  <si>
    <t>Flared</t>
  </si>
  <si>
    <t>Exported</t>
  </si>
  <si>
    <r>
      <t xml:space="preserve">Unit (if required) </t>
    </r>
    <r>
      <rPr>
        <b/>
        <sz val="9"/>
        <color rgb="FF0070C0"/>
        <rFont val="Calibri"/>
        <family val="2"/>
      </rPr>
      <t>→</t>
    </r>
  </si>
  <si>
    <t>Linked Data →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</si>
</sst>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F400]h:mm:ss\ AM/PM"/>
    <numFmt numFmtId="165" formatCode="_-* #,##0.00_-;_-* #,##0.00\-;_-* &quot;-&quot;??_-;_-@_-"/>
  </numFmts>
  <fonts count="28" x14ac:knownFonts="1"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sz val="10"/>
      <color theme="0"/>
      <name val="Arial"/>
      <family val="2"/>
    </font>
    <font>
      <sz val="10"/>
      <name val="Arial"/>
      <family val="2"/>
    </font>
    <font>
      <b/>
      <sz val="10"/>
      <color rgb="FF0000FF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sz val="10"/>
      <color theme="0"/>
      <name val="Arial"/>
      <family val="2"/>
    </font>
    <font>
      <b/>
      <sz val="9"/>
      <name val="Arial"/>
      <family val="2"/>
    </font>
    <font>
      <b/>
      <sz val="10"/>
      <color theme="1"/>
      <name val="Arial"/>
      <family val="2"/>
    </font>
    <font>
      <b/>
      <sz val="10"/>
      <color theme="5" tint="0.59999389629810485"/>
      <name val="Arial"/>
      <family val="2"/>
    </font>
    <font>
      <b/>
      <sz val="9"/>
      <color theme="5" tint="0.59999389629810485"/>
      <name val="Arial"/>
      <family val="2"/>
    </font>
    <font>
      <b/>
      <sz val="9"/>
      <color theme="1"/>
      <name val="Arial"/>
      <family val="2"/>
    </font>
    <font>
      <sz val="10"/>
      <color theme="1"/>
      <name val="Arial"/>
      <family val="2"/>
    </font>
    <font>
      <u/>
      <sz val="10"/>
      <color theme="10"/>
      <name val="Arial"/>
      <family val="2"/>
    </font>
    <font>
      <b/>
      <sz val="12"/>
      <name val="Calibri Light"/>
      <family val="1"/>
      <scheme val="major"/>
    </font>
    <font>
      <b/>
      <sz val="1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name val="Calibri"/>
      <family val="2"/>
    </font>
    <font>
      <b/>
      <sz val="11"/>
      <name val="Calibri"/>
      <family val="2"/>
      <scheme val="minor"/>
    </font>
    <font>
      <u/>
      <sz val="9"/>
      <color theme="10"/>
      <name val="Arial"/>
      <family val="2"/>
    </font>
    <font>
      <u/>
      <sz val="11"/>
      <color theme="10"/>
      <name val="Calibri"/>
      <family val="2"/>
      <scheme val="minor"/>
    </font>
    <font>
      <b/>
      <sz val="9"/>
      <color rgb="FF0070C0"/>
      <name val="Arial"/>
      <family val="2"/>
    </font>
    <font>
      <b/>
      <sz val="9"/>
      <color rgb="FF0070C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10">
    <xf numFmtId="0" fontId="0" fillId="0" borderId="0"/>
    <xf numFmtId="0" fontId="1" fillId="0" borderId="0"/>
    <xf numFmtId="0" fontId="2" fillId="0" borderId="0"/>
    <xf numFmtId="164" fontId="3" fillId="0" borderId="0"/>
    <xf numFmtId="164" fontId="5" fillId="0" borderId="0"/>
    <xf numFmtId="9" fontId="5" fillId="0" borderId="0" applyFont="0" applyFill="0" applyBorder="0" applyAlignment="0" applyProtection="0"/>
    <xf numFmtId="164" fontId="5" fillId="0" borderId="0"/>
    <xf numFmtId="165" fontId="5" fillId="0" borderId="0" applyFont="0" applyFill="0" applyBorder="0" applyAlignment="0" applyProtection="0"/>
    <xf numFmtId="164" fontId="16" fillId="0" borderId="0" applyNumberFormat="0" applyFill="0" applyBorder="0" applyAlignment="0" applyProtection="0"/>
    <xf numFmtId="0" fontId="23" fillId="0" borderId="0" applyNumberFormat="0" applyFill="0" applyBorder="0" applyAlignment="0" applyProtection="0"/>
  </cellStyleXfs>
  <cellXfs count="65">
    <xf numFmtId="0" fontId="0" fillId="0" borderId="0" xfId="0"/>
    <xf numFmtId="0" fontId="17" fillId="5" borderId="3" xfId="3" applyNumberFormat="1" applyFont="1" applyFill="1" applyBorder="1" applyAlignment="1" applyProtection="1">
      <alignment horizontal="center" vertical="center"/>
      <protection hidden="1"/>
    </xf>
    <xf numFmtId="0" fontId="5" fillId="0" borderId="0" xfId="3" applyNumberFormat="1" applyFont="1" applyFill="1" applyBorder="1" applyAlignment="1" applyProtection="1">
      <alignment horizontal="center" vertical="center"/>
      <protection hidden="1"/>
    </xf>
    <xf numFmtId="22" fontId="6" fillId="0" borderId="0" xfId="3" applyNumberFormat="1" applyFont="1" applyFill="1" applyAlignment="1" applyProtection="1">
      <alignment horizontal="center" vertical="center"/>
      <protection hidden="1"/>
    </xf>
    <xf numFmtId="0" fontId="6" fillId="0" borderId="0" xfId="3" applyNumberFormat="1" applyFont="1" applyFill="1" applyBorder="1" applyAlignment="1" applyProtection="1">
      <alignment horizontal="center" vertical="center"/>
      <protection hidden="1"/>
    </xf>
    <xf numFmtId="2" fontId="7" fillId="0" borderId="0" xfId="3" applyNumberFormat="1" applyFont="1" applyFill="1" applyAlignment="1" applyProtection="1">
      <alignment horizontal="center" vertical="center"/>
      <protection hidden="1"/>
    </xf>
    <xf numFmtId="2" fontId="5" fillId="0" borderId="0" xfId="3" applyNumberFormat="1" applyFont="1" applyFill="1" applyAlignment="1" applyProtection="1">
      <alignment horizontal="center" vertical="center"/>
      <protection hidden="1"/>
    </xf>
    <xf numFmtId="0" fontId="8" fillId="0" borderId="0" xfId="3" applyNumberFormat="1" applyFont="1" applyFill="1" applyBorder="1" applyAlignment="1" applyProtection="1">
      <alignment horizontal="center" vertical="center"/>
      <protection hidden="1"/>
    </xf>
    <xf numFmtId="0" fontId="5" fillId="2" borderId="0" xfId="3" applyNumberFormat="1" applyFont="1" applyFill="1" applyAlignment="1" applyProtection="1">
      <alignment horizontal="center" vertical="center"/>
      <protection hidden="1"/>
    </xf>
    <xf numFmtId="49" fontId="5" fillId="2" borderId="0" xfId="3" applyNumberFormat="1" applyFont="1" applyFill="1" applyAlignment="1" applyProtection="1">
      <alignment horizontal="center" vertical="center"/>
      <protection hidden="1"/>
    </xf>
    <xf numFmtId="2" fontId="7" fillId="2" borderId="0" xfId="3" applyNumberFormat="1" applyFont="1" applyFill="1" applyAlignment="1" applyProtection="1">
      <alignment horizontal="center" vertical="center"/>
      <protection hidden="1"/>
    </xf>
    <xf numFmtId="2" fontId="5" fillId="2" borderId="0" xfId="3" applyNumberFormat="1" applyFont="1" applyFill="1" applyAlignment="1" applyProtection="1">
      <alignment horizontal="center" vertical="center"/>
      <protection hidden="1"/>
    </xf>
    <xf numFmtId="0" fontId="8" fillId="2" borderId="0" xfId="4" applyNumberFormat="1" applyFont="1" applyFill="1" applyBorder="1" applyAlignment="1" applyProtection="1">
      <alignment horizontal="center" vertical="center" wrapText="1"/>
      <protection hidden="1"/>
    </xf>
    <xf numFmtId="49" fontId="8" fillId="2" borderId="0" xfId="4" applyNumberFormat="1" applyFont="1" applyFill="1" applyBorder="1" applyAlignment="1" applyProtection="1">
      <alignment horizontal="center" vertical="center" wrapText="1"/>
      <protection hidden="1"/>
    </xf>
    <xf numFmtId="0" fontId="20" fillId="0" borderId="0" xfId="3" applyNumberFormat="1" applyFont="1" applyFill="1" applyBorder="1" applyAlignment="1" applyProtection="1">
      <alignment horizontal="center" vertical="center" wrapText="1"/>
      <protection hidden="1"/>
    </xf>
    <xf numFmtId="0" fontId="8" fillId="3" borderId="1" xfId="4" applyNumberFormat="1" applyFont="1" applyFill="1" applyBorder="1" applyAlignment="1" applyProtection="1">
      <alignment horizontal="center" vertical="center" wrapText="1"/>
      <protection hidden="1"/>
    </xf>
    <xf numFmtId="2" fontId="10" fillId="3" borderId="1" xfId="4" applyNumberFormat="1" applyFont="1" applyFill="1" applyBorder="1" applyAlignment="1" applyProtection="1">
      <alignment horizontal="center" vertical="center" wrapText="1"/>
      <protection hidden="1"/>
    </xf>
    <xf numFmtId="2" fontId="8" fillId="3" borderId="1" xfId="3" applyNumberFormat="1" applyFont="1" applyFill="1" applyBorder="1" applyAlignment="1" applyProtection="1">
      <alignment horizontal="center" vertical="center" wrapText="1"/>
      <protection hidden="1"/>
    </xf>
    <xf numFmtId="2" fontId="8" fillId="3" borderId="1" xfId="4" applyNumberFormat="1" applyFont="1" applyFill="1" applyBorder="1" applyAlignment="1" applyProtection="1">
      <alignment horizontal="center" vertical="center" wrapText="1"/>
      <protection hidden="1"/>
    </xf>
    <xf numFmtId="2" fontId="11" fillId="3" borderId="1" xfId="3" applyNumberFormat="1" applyFont="1" applyFill="1" applyBorder="1" applyAlignment="1" applyProtection="1">
      <alignment horizontal="center" vertical="center" wrapText="1"/>
      <protection hidden="1"/>
    </xf>
    <xf numFmtId="0" fontId="8" fillId="0" borderId="0" xfId="3" applyNumberFormat="1" applyFont="1" applyFill="1" applyBorder="1" applyAlignment="1" applyProtection="1">
      <alignment horizontal="center" vertical="center" wrapText="1"/>
      <protection hidden="1"/>
    </xf>
    <xf numFmtId="0" fontId="8" fillId="3" borderId="1" xfId="3" applyNumberFormat="1" applyFont="1" applyFill="1" applyBorder="1" applyAlignment="1" applyProtection="1">
      <alignment horizontal="center" vertical="center" wrapText="1"/>
      <protection hidden="1"/>
    </xf>
    <xf numFmtId="0" fontId="8" fillId="3" borderId="2" xfId="3" applyNumberFormat="1" applyFont="1" applyFill="1" applyBorder="1" applyAlignment="1" applyProtection="1">
      <alignment horizontal="center" vertical="center" wrapText="1"/>
      <protection hidden="1"/>
    </xf>
    <xf numFmtId="2" fontId="10" fillId="3" borderId="1" xfId="3" applyNumberFormat="1" applyFont="1" applyFill="1" applyBorder="1" applyAlignment="1" applyProtection="1">
      <alignment horizontal="center" vertical="center" wrapText="1"/>
      <protection hidden="1"/>
    </xf>
    <xf numFmtId="2" fontId="8" fillId="3" borderId="2" xfId="3" applyNumberFormat="1" applyFont="1" applyFill="1" applyBorder="1" applyAlignment="1" applyProtection="1">
      <alignment horizontal="center" vertical="center" wrapText="1"/>
      <protection hidden="1"/>
    </xf>
    <xf numFmtId="2" fontId="11" fillId="3" borderId="2" xfId="4" applyNumberFormat="1" applyFont="1" applyFill="1" applyBorder="1" applyAlignment="1" applyProtection="1">
      <alignment horizontal="center" vertical="center" wrapText="1"/>
      <protection hidden="1"/>
    </xf>
    <xf numFmtId="0" fontId="5" fillId="0" borderId="0" xfId="3" applyNumberFormat="1" applyFont="1" applyFill="1" applyBorder="1" applyAlignment="1" applyProtection="1">
      <alignment horizontal="center" vertical="center" wrapText="1"/>
      <protection hidden="1"/>
    </xf>
    <xf numFmtId="0" fontId="13" fillId="2" borderId="0" xfId="4" applyNumberFormat="1" applyFont="1" applyFill="1" applyBorder="1" applyAlignment="1" applyProtection="1">
      <alignment horizontal="center" vertical="center" wrapText="1"/>
      <protection hidden="1"/>
    </xf>
    <xf numFmtId="49" fontId="13" fillId="2" borderId="0" xfId="4" applyNumberFormat="1" applyFont="1" applyFill="1" applyBorder="1" applyAlignment="1" applyProtection="1">
      <alignment horizontal="center" vertical="center" wrapText="1"/>
      <protection hidden="1"/>
    </xf>
    <xf numFmtId="0" fontId="10" fillId="3" borderId="1" xfId="3" applyNumberFormat="1" applyFont="1" applyFill="1" applyBorder="1" applyAlignment="1" applyProtection="1">
      <alignment horizontal="center" vertical="center" wrapText="1"/>
      <protection hidden="1"/>
    </xf>
    <xf numFmtId="2" fontId="14" fillId="3" borderId="1" xfId="4" applyNumberFormat="1" applyFont="1" applyFill="1" applyBorder="1" applyAlignment="1" applyProtection="1">
      <alignment horizontal="center" vertical="center" wrapText="1"/>
      <protection hidden="1"/>
    </xf>
    <xf numFmtId="2" fontId="10" fillId="3" borderId="2" xfId="3" applyNumberFormat="1" applyFont="1" applyFill="1" applyBorder="1" applyAlignment="1" applyProtection="1">
      <alignment horizontal="center" vertical="center" wrapText="1"/>
      <protection hidden="1"/>
    </xf>
    <xf numFmtId="0" fontId="7" fillId="0" borderId="0" xfId="3" applyNumberFormat="1" applyFont="1" applyFill="1" applyBorder="1" applyAlignment="1" applyProtection="1">
      <alignment horizontal="center" vertical="center" wrapText="1"/>
      <protection hidden="1"/>
    </xf>
    <xf numFmtId="0" fontId="5" fillId="0" borderId="0" xfId="3" applyNumberFormat="1" applyFont="1" applyAlignment="1" applyProtection="1">
      <alignment horizontal="center" vertical="center"/>
      <protection hidden="1"/>
    </xf>
    <xf numFmtId="49" fontId="5" fillId="0" borderId="0" xfId="3" applyNumberFormat="1" applyFont="1" applyAlignment="1" applyProtection="1">
      <alignment horizontal="center" vertical="center"/>
      <protection hidden="1"/>
    </xf>
    <xf numFmtId="2" fontId="7" fillId="0" borderId="0" xfId="3" applyNumberFormat="1" applyFont="1" applyAlignment="1" applyProtection="1">
      <alignment horizontal="center" vertical="center"/>
      <protection hidden="1"/>
    </xf>
    <xf numFmtId="2" fontId="5" fillId="0" borderId="0" xfId="3" applyNumberFormat="1" applyFont="1" applyAlignment="1" applyProtection="1">
      <alignment horizontal="center" vertical="center"/>
      <protection hidden="1"/>
    </xf>
    <xf numFmtId="2" fontId="8" fillId="0" borderId="0" xfId="3" applyNumberFormat="1" applyFont="1" applyFill="1" applyAlignment="1" applyProtection="1">
      <alignment horizontal="left" vertical="center"/>
      <protection hidden="1"/>
    </xf>
    <xf numFmtId="0" fontId="8" fillId="0" borderId="1" xfId="3" applyNumberFormat="1" applyFont="1" applyFill="1" applyBorder="1" applyAlignment="1" applyProtection="1">
      <alignment horizontal="left" vertical="center" indent="1"/>
      <protection hidden="1"/>
    </xf>
    <xf numFmtId="164" fontId="19" fillId="4" borderId="1" xfId="3" applyFont="1" applyFill="1" applyBorder="1" applyAlignment="1" applyProtection="1">
      <alignment horizontal="left" vertical="center"/>
      <protection hidden="1"/>
    </xf>
    <xf numFmtId="164" fontId="18" fillId="0" borderId="1" xfId="3" applyFont="1" applyBorder="1" applyAlignment="1" applyProtection="1">
      <alignment horizontal="left" vertical="center" indent="1"/>
      <protection locked="0"/>
    </xf>
    <xf numFmtId="2" fontId="8" fillId="0" borderId="1" xfId="3" applyNumberFormat="1" applyFont="1" applyFill="1" applyBorder="1" applyAlignment="1" applyProtection="1">
      <alignment horizontal="left" vertical="center" indent="1"/>
      <protection hidden="1"/>
    </xf>
    <xf numFmtId="0" fontId="21" fillId="6" borderId="3" xfId="3" applyNumberFormat="1" applyFont="1" applyFill="1" applyBorder="1" applyAlignment="1" applyProtection="1">
      <alignment horizontal="center" vertical="center"/>
      <protection hidden="1"/>
    </xf>
    <xf numFmtId="0" fontId="5" fillId="0" borderId="3" xfId="3" applyNumberFormat="1" applyFont="1" applyFill="1" applyBorder="1" applyAlignment="1" applyProtection="1">
      <alignment horizontal="center" vertical="center"/>
      <protection hidden="1"/>
    </xf>
    <xf numFmtId="0" fontId="18" fillId="6" borderId="3" xfId="3" applyNumberFormat="1" applyFont="1" applyFill="1" applyBorder="1" applyAlignment="1" applyProtection="1">
      <alignment horizontal="center" vertical="center"/>
      <protection hidden="1"/>
    </xf>
    <xf numFmtId="0" fontId="5" fillId="0" borderId="0" xfId="3" applyNumberFormat="1" applyFont="1" applyFill="1" applyBorder="1" applyAlignment="1" applyProtection="1">
      <alignment horizontal="right" vertical="center"/>
      <protection hidden="1"/>
    </xf>
    <xf numFmtId="0" fontId="19" fillId="4" borderId="1" xfId="3" applyNumberFormat="1" applyFont="1" applyFill="1" applyBorder="1" applyAlignment="1" applyProtection="1">
      <alignment horizontal="left" vertical="center"/>
      <protection hidden="1"/>
    </xf>
    <xf numFmtId="14" fontId="19" fillId="4" borderId="1" xfId="3" applyNumberFormat="1" applyFont="1" applyFill="1" applyBorder="1" applyAlignment="1" applyProtection="1">
      <alignment horizontal="left" vertical="center"/>
      <protection hidden="1"/>
    </xf>
    <xf numFmtId="0" fontId="4" fillId="0" borderId="0" xfId="3" applyNumberFormat="1" applyFont="1" applyFill="1" applyBorder="1" applyAlignment="1" applyProtection="1">
      <alignment horizontal="left" vertical="center"/>
      <protection hidden="1"/>
    </xf>
    <xf numFmtId="0" fontId="9" fillId="2" borderId="0" xfId="3" applyNumberFormat="1" applyFont="1" applyFill="1" applyAlignment="1" applyProtection="1">
      <alignment horizontal="left" vertical="center"/>
      <protection hidden="1"/>
    </xf>
    <xf numFmtId="0" fontId="4" fillId="2" borderId="0" xfId="3" applyNumberFormat="1" applyFont="1" applyFill="1" applyBorder="1" applyAlignment="1" applyProtection="1">
      <alignment horizontal="left" vertical="center" wrapText="1"/>
      <protection hidden="1"/>
    </xf>
    <xf numFmtId="0" fontId="12" fillId="2" borderId="0" xfId="3" applyNumberFormat="1" applyFont="1" applyFill="1" applyBorder="1" applyAlignment="1" applyProtection="1">
      <alignment horizontal="left" vertical="center" wrapText="1"/>
      <protection hidden="1"/>
    </xf>
    <xf numFmtId="0" fontId="13" fillId="2" borderId="0" xfId="4" applyNumberFormat="1" applyFont="1" applyFill="1" applyBorder="1" applyAlignment="1" applyProtection="1">
      <alignment horizontal="left" vertical="center" wrapText="1"/>
      <protection hidden="1"/>
    </xf>
    <xf numFmtId="0" fontId="15" fillId="2" borderId="0" xfId="3" applyNumberFormat="1" applyFont="1" applyFill="1" applyAlignment="1" applyProtection="1">
      <alignment horizontal="left" vertical="center"/>
      <protection hidden="1"/>
    </xf>
    <xf numFmtId="0" fontId="9" fillId="0" borderId="0" xfId="3" applyNumberFormat="1" applyFont="1" applyAlignment="1" applyProtection="1">
      <alignment horizontal="left" vertical="center"/>
      <protection hidden="1"/>
    </xf>
    <xf numFmtId="45" fontId="6" fillId="0" borderId="0" xfId="3" applyNumberFormat="1" applyFont="1" applyFill="1" applyAlignment="1" applyProtection="1">
      <alignment horizontal="center" vertical="center"/>
      <protection hidden="1"/>
    </xf>
    <xf numFmtId="22" fontId="16" fillId="0" borderId="0" xfId="8" applyNumberFormat="1" applyFill="1" applyAlignment="1" applyProtection="1">
      <alignment horizontal="center" vertical="center"/>
      <protection hidden="1"/>
    </xf>
    <xf numFmtId="4" fontId="7" fillId="0" borderId="0" xfId="3" applyNumberFormat="1" applyFont="1" applyFill="1" applyBorder="1" applyAlignment="1" applyProtection="1">
      <alignment horizontal="center" vertical="center" wrapText="1"/>
      <protection hidden="1"/>
    </xf>
    <xf numFmtId="2" fontId="7" fillId="0" borderId="0" xfId="3" applyNumberFormat="1" applyFont="1" applyFill="1" applyBorder="1" applyAlignment="1" applyProtection="1">
      <alignment horizontal="center" vertical="center" wrapText="1"/>
      <protection hidden="1"/>
    </xf>
    <xf numFmtId="0" fontId="18" fillId="6" borderId="3" xfId="3" applyNumberFormat="1" applyFont="1" applyFill="1" applyBorder="1" applyAlignment="1" applyProtection="1">
      <alignment horizontal="center" vertical="center"/>
      <protection locked="0"/>
    </xf>
    <xf numFmtId="0" fontId="18" fillId="6" borderId="3" xfId="3" applyNumberFormat="1" applyFont="1" applyFill="1" applyBorder="1" applyAlignment="1" applyProtection="1">
      <alignment horizontal="left" vertical="center" indent="1"/>
      <protection locked="0"/>
    </xf>
    <xf numFmtId="0" fontId="22" fillId="6" borderId="3" xfId="8" applyNumberFormat="1" applyFont="1" applyFill="1" applyBorder="1" applyAlignment="1" applyProtection="1">
      <alignment horizontal="left" vertical="center" indent="1"/>
    </xf>
    <xf numFmtId="2" fontId="24" fillId="3" borderId="1" xfId="3" applyNumberFormat="1" applyFont="1" applyFill="1" applyBorder="1" applyAlignment="1" applyProtection="1">
      <alignment horizontal="center" vertical="center" wrapText="1"/>
      <protection hidden="1"/>
    </xf>
    <xf numFmtId="2" fontId="24" fillId="3" borderId="1" xfId="4" applyNumberFormat="1" applyFont="1" applyFill="1" applyBorder="1" applyAlignment="1" applyProtection="1">
      <alignment horizontal="center" vertical="center" wrapText="1"/>
      <protection hidden="1"/>
    </xf>
    <xf numFmtId="14" fontId="10" fillId="3" borderId="1" xfId="4" applyNumberFormat="1" applyFont="1" applyFill="1" applyBorder="1" applyAlignment="1" applyProtection="1">
      <alignment horizontal="center" vertical="center" wrapText="1"/>
      <protection hidden="1"/>
    </xf>
  </cellXfs>
  <cellStyles count="10">
    <cellStyle name="Comma 2" xfId="7"/>
    <cellStyle name="Hyperlink" xfId="8" builtinId="8"/>
    <cellStyle name="Hyperlink 2" xfId="9"/>
    <cellStyle name="Normal" xfId="0" builtinId="0"/>
    <cellStyle name="Normal 10" xfId="4"/>
    <cellStyle name="Normal 2" xfId="1"/>
    <cellStyle name="Normal 2 2" xfId="6"/>
    <cellStyle name="Normal 3" xfId="2"/>
    <cellStyle name="Normal 4" xfId="3"/>
    <cellStyle name="Percent 2" xfId="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52915</xdr:colOff>
      <xdr:row>6</xdr:row>
      <xdr:rowOff>63500</xdr:rowOff>
    </xdr:from>
    <xdr:to>
      <xdr:col>2</xdr:col>
      <xdr:colOff>529166</xdr:colOff>
      <xdr:row>8</xdr:row>
      <xdr:rowOff>0</xdr:rowOff>
    </xdr:to>
    <xdr:sp macro="[0]!Update_WB_link" textlink="">
      <xdr:nvSpPr>
        <xdr:cNvPr id="2" name="Rounded Rectangle 1"/>
        <xdr:cNvSpPr/>
      </xdr:nvSpPr>
      <xdr:spPr>
        <a:xfrm>
          <a:off x="433915" y="1227667"/>
          <a:ext cx="1143001" cy="698500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accent5"/>
              </a:solidFill>
            </a:rPr>
            <a:t>Get</a:t>
          </a:r>
          <a:r>
            <a:rPr lang="en-US" sz="1600" b="1" baseline="0">
              <a:solidFill>
                <a:schemeClr val="accent5"/>
              </a:solidFill>
            </a:rPr>
            <a:t> Updates</a:t>
          </a:r>
          <a:endParaRPr lang="en-US" sz="1600" b="1">
            <a:solidFill>
              <a:schemeClr val="accent5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PT_CCR_Final/Automatic%20update/Videos_Rename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opr1141/Documents/Sampe%20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FileList"/>
    </sheetNames>
    <sheetDataSet>
      <sheetData sheetId="0" refreshError="1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2">
          <cell r="C2">
            <v>45683</v>
          </cell>
        </row>
        <row r="5">
          <cell r="C5">
            <v>290</v>
          </cell>
          <cell r="H5">
            <v>288</v>
          </cell>
        </row>
        <row r="10">
          <cell r="F10">
            <v>2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\..\i-DepShares\production\Daily%20%20production%20report%20(Burullus)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EP10"/>
  <sheetViews>
    <sheetView showGridLines="0" tabSelected="1" zoomScale="90" zoomScaleNormal="90" workbookViewId="0">
      <pane ySplit="10" topLeftCell="A11" activePane="bottomLeft" state="frozen"/>
      <selection activeCell="C1254" sqref="C1254"/>
      <selection pane="bottomLeft" activeCell="D23" sqref="D23"/>
    </sheetView>
  </sheetViews>
  <sheetFormatPr defaultRowHeight="12.75" x14ac:dyDescent="0.25"/>
  <cols>
    <col min="1" max="1" width="5.7109375" style="54" customWidth="1"/>
    <col min="2" max="2" width="10" style="33" customWidth="1"/>
    <col min="3" max="3" width="18.140625" style="34" bestFit="1" customWidth="1"/>
    <col min="4" max="5" width="13.7109375" style="33" customWidth="1"/>
    <col min="6" max="6" width="14.85546875" style="35" bestFit="1" customWidth="1"/>
    <col min="7" max="8" width="13.7109375" style="36" customWidth="1"/>
    <col min="9" max="9" width="17.140625" style="36" bestFit="1" customWidth="1"/>
    <col min="10" max="65" width="13.7109375" style="36" customWidth="1"/>
    <col min="66" max="16384" width="9.140625" style="33"/>
  </cols>
  <sheetData>
    <row r="1" spans="1:146" s="2" customFormat="1" ht="20.100000000000001" customHeight="1" x14ac:dyDescent="0.25">
      <c r="A1" s="48"/>
      <c r="C1" s="55">
        <v>2.199074074074074E-4</v>
      </c>
      <c r="D1" s="4"/>
      <c r="E1" s="4"/>
      <c r="F1" s="5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37" t="s">
        <v>14</v>
      </c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BJ1" s="6"/>
      <c r="BK1" s="6"/>
      <c r="BL1" s="6"/>
      <c r="BM1" s="6"/>
    </row>
    <row r="2" spans="1:146" s="2" customFormat="1" ht="15" customHeight="1" thickBot="1" x14ac:dyDescent="0.3">
      <c r="A2" s="48"/>
      <c r="C2" s="3"/>
      <c r="D2" s="4"/>
      <c r="E2" s="1" t="s">
        <v>8</v>
      </c>
      <c r="F2" s="61" t="s">
        <v>21</v>
      </c>
      <c r="G2" s="61"/>
      <c r="H2" s="61"/>
      <c r="I2" s="61"/>
      <c r="J2" s="61"/>
      <c r="K2" s="61"/>
      <c r="L2" s="6"/>
      <c r="M2" s="6"/>
      <c r="N2" s="6"/>
      <c r="S2" s="38" t="s">
        <v>15</v>
      </c>
      <c r="T2" s="39" t="str">
        <f>F2</f>
        <v>C:\Updated</v>
      </c>
      <c r="U2" s="6" t="s">
        <v>16</v>
      </c>
      <c r="V2" s="41" t="s">
        <v>17</v>
      </c>
      <c r="W2" s="47">
        <v>45683</v>
      </c>
      <c r="X2" s="6" t="s">
        <v>16</v>
      </c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</row>
    <row r="3" spans="1:146" s="2" customFormat="1" ht="15" customHeight="1" thickTop="1" thickBot="1" x14ac:dyDescent="0.3">
      <c r="A3" s="48"/>
      <c r="B3" s="45"/>
      <c r="C3" s="56"/>
      <c r="D3" s="4"/>
      <c r="E3" s="4"/>
      <c r="F3" s="5"/>
      <c r="G3" s="6"/>
      <c r="H3" s="6"/>
      <c r="I3" s="6"/>
      <c r="J3" s="6"/>
      <c r="K3" s="6"/>
      <c r="L3" s="6"/>
      <c r="M3" s="1" t="s">
        <v>9</v>
      </c>
      <c r="N3" s="44" t="s">
        <v>10</v>
      </c>
      <c r="O3" s="59" t="s">
        <v>23</v>
      </c>
      <c r="P3" s="59"/>
      <c r="S3" s="40" t="s">
        <v>9</v>
      </c>
      <c r="T3" s="39" t="str">
        <f>IF(N3="start-with",O3&amp;"*",IF(N3="end-with","*"&amp;O3,IF(N3="contins","*"&amp;O3&amp;"*")))</f>
        <v>*Report*</v>
      </c>
      <c r="U3" s="6" t="s">
        <v>16</v>
      </c>
      <c r="V3" s="41" t="s">
        <v>18</v>
      </c>
      <c r="W3" s="39" t="s">
        <v>20</v>
      </c>
      <c r="X3" s="6" t="s">
        <v>16</v>
      </c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</row>
    <row r="4" spans="1:146" s="2" customFormat="1" ht="15" customHeight="1" thickTop="1" thickBot="1" x14ac:dyDescent="0.3">
      <c r="A4" s="48"/>
      <c r="C4" s="3"/>
      <c r="D4" s="4"/>
      <c r="E4" s="1" t="s">
        <v>13</v>
      </c>
      <c r="F4" s="42" t="s">
        <v>10</v>
      </c>
      <c r="G4" s="60" t="s">
        <v>22</v>
      </c>
      <c r="H4" s="60"/>
      <c r="I4" s="43"/>
      <c r="J4" s="42" t="s">
        <v>11</v>
      </c>
      <c r="K4" s="44" t="s">
        <v>12</v>
      </c>
      <c r="N4" s="6"/>
      <c r="O4" s="6"/>
      <c r="P4" s="6"/>
      <c r="Q4" s="6"/>
      <c r="R4" s="6"/>
      <c r="S4" s="41" t="s">
        <v>13</v>
      </c>
      <c r="T4" s="39" t="str">
        <f>IF(F4="start-with",G4&amp;"*"&amp;IF(K4="",".xlsx","."&amp;K4),IF(F4="end-with","*"&amp;G4&amp;IF(K4="",".xlsx","."&amp;K4),IF(F4="contins","*"&amp;G4&amp;"*"&amp;IF(K4="",".xlsx","."&amp;K4))))</f>
        <v>*Hub*.xlsx</v>
      </c>
      <c r="U4" s="6" t="s">
        <v>16</v>
      </c>
      <c r="V4" s="41" t="s">
        <v>19</v>
      </c>
      <c r="W4" s="46">
        <f>COUNTA(#REF!)</f>
        <v>1</v>
      </c>
      <c r="X4" s="6" t="s">
        <v>16</v>
      </c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</row>
    <row r="5" spans="1:146" s="2" customFormat="1" ht="15" customHeight="1" thickTop="1" x14ac:dyDescent="0.25">
      <c r="A5" s="48"/>
      <c r="C5" s="3"/>
      <c r="D5" s="4"/>
      <c r="E5" s="7"/>
      <c r="F5" s="7"/>
      <c r="G5" s="7"/>
      <c r="H5" s="7"/>
      <c r="I5" s="7"/>
      <c r="J5" s="7"/>
      <c r="K5" s="7"/>
      <c r="N5" s="6"/>
      <c r="O5" s="6"/>
      <c r="P5" s="6"/>
      <c r="Q5" s="6"/>
      <c r="R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</row>
    <row r="6" spans="1:146" s="2" customFormat="1" x14ac:dyDescent="0.25">
      <c r="A6" s="49"/>
      <c r="B6" s="8"/>
      <c r="C6" s="9"/>
      <c r="D6" s="8"/>
      <c r="E6" s="8"/>
      <c r="F6" s="10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146" s="20" customFormat="1" ht="30" customHeight="1" x14ac:dyDescent="0.25">
      <c r="A7" s="50"/>
      <c r="B7" s="12"/>
      <c r="C7" s="13"/>
      <c r="D7" s="14"/>
      <c r="E7" s="15" t="str">
        <f>REPLACE(C3,1,2,"")</f>
        <v/>
      </c>
      <c r="F7" s="63" t="s">
        <v>27</v>
      </c>
      <c r="G7" s="16" t="s">
        <v>0</v>
      </c>
      <c r="H7" s="16" t="s">
        <v>0</v>
      </c>
      <c r="I7" s="17" t="s">
        <v>0</v>
      </c>
      <c r="J7" s="17"/>
      <c r="K7" s="17"/>
      <c r="L7" s="17"/>
      <c r="M7" s="17"/>
      <c r="N7" s="17"/>
      <c r="O7" s="17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9"/>
      <c r="AB7" s="18"/>
      <c r="AC7" s="19"/>
      <c r="AD7" s="18"/>
      <c r="AE7" s="18"/>
      <c r="AF7" s="18"/>
      <c r="AG7" s="17"/>
      <c r="AH7" s="17"/>
      <c r="AI7" s="17"/>
      <c r="AJ7" s="17"/>
      <c r="AK7" s="17"/>
      <c r="AL7" s="17"/>
      <c r="AM7" s="17"/>
      <c r="AN7" s="17"/>
      <c r="AO7" s="17"/>
      <c r="AP7" s="17"/>
      <c r="AQ7" s="17"/>
      <c r="AR7" s="17"/>
      <c r="AS7" s="17"/>
      <c r="AT7" s="17"/>
      <c r="AU7" s="17"/>
      <c r="AV7" s="17"/>
      <c r="AW7" s="17"/>
      <c r="AX7" s="17"/>
      <c r="AY7" s="17"/>
      <c r="AZ7" s="17"/>
      <c r="BA7" s="17"/>
      <c r="BB7" s="17"/>
      <c r="BC7" s="17"/>
      <c r="BD7" s="17"/>
      <c r="BE7" s="17"/>
      <c r="BF7" s="17"/>
      <c r="BG7" s="17"/>
      <c r="BH7" s="17"/>
      <c r="BI7" s="17"/>
      <c r="BJ7" s="17"/>
      <c r="BK7" s="17"/>
      <c r="BL7" s="17"/>
      <c r="BM7" s="17"/>
    </row>
    <row r="8" spans="1:146" s="26" customFormat="1" ht="30" customHeight="1" x14ac:dyDescent="0.25">
      <c r="A8" s="51"/>
      <c r="B8" s="28" t="s">
        <v>1</v>
      </c>
      <c r="C8" s="28" t="s">
        <v>2</v>
      </c>
      <c r="D8" s="21" t="s">
        <v>3</v>
      </c>
      <c r="E8" s="22" t="s">
        <v>4</v>
      </c>
      <c r="F8" s="62" t="s">
        <v>24</v>
      </c>
      <c r="G8" s="24" t="s">
        <v>5</v>
      </c>
      <c r="H8" s="24" t="s">
        <v>25</v>
      </c>
      <c r="I8" s="24" t="s">
        <v>26</v>
      </c>
      <c r="J8" s="24"/>
      <c r="K8" s="24"/>
      <c r="L8" s="24"/>
      <c r="M8" s="24"/>
      <c r="N8" s="24"/>
      <c r="O8" s="24"/>
      <c r="P8" s="17"/>
      <c r="Q8" s="17"/>
      <c r="R8" s="25"/>
      <c r="S8" s="25"/>
      <c r="T8" s="25"/>
      <c r="U8" s="25"/>
      <c r="V8" s="25"/>
      <c r="W8" s="25"/>
      <c r="X8" s="25"/>
      <c r="Y8" s="25"/>
      <c r="Z8" s="24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</row>
    <row r="9" spans="1:146" s="32" customFormat="1" ht="30" customHeight="1" x14ac:dyDescent="0.25">
      <c r="A9" s="52"/>
      <c r="B9" s="27"/>
      <c r="C9" s="28"/>
      <c r="D9" s="64">
        <f>[2]Sheet1!$C$2</f>
        <v>45683</v>
      </c>
      <c r="E9" s="29"/>
      <c r="F9" s="62" t="s">
        <v>28</v>
      </c>
      <c r="G9" s="23">
        <f>[2]Sheet1!$C$5</f>
        <v>290</v>
      </c>
      <c r="H9" s="30">
        <f>[2]Sheet1!$F$10</f>
        <v>2</v>
      </c>
      <c r="I9" s="23">
        <f>[2]Sheet1!$H$5</f>
        <v>288</v>
      </c>
      <c r="J9" s="23"/>
      <c r="K9" s="23"/>
      <c r="L9" s="23"/>
      <c r="M9" s="23"/>
      <c r="N9" s="23"/>
      <c r="O9" s="23"/>
      <c r="P9" s="16"/>
      <c r="Q9" s="16"/>
      <c r="R9" s="16"/>
      <c r="S9" s="30"/>
      <c r="T9" s="30"/>
      <c r="U9" s="30"/>
      <c r="V9" s="30"/>
      <c r="W9" s="30"/>
      <c r="X9" s="30"/>
      <c r="Y9" s="30"/>
      <c r="Z9" s="16"/>
      <c r="AA9" s="30"/>
      <c r="AB9" s="30"/>
      <c r="AC9" s="30"/>
      <c r="AD9" s="30"/>
      <c r="AE9" s="23"/>
      <c r="AF9" s="23"/>
      <c r="AG9" s="23"/>
      <c r="AH9" s="23"/>
      <c r="AI9" s="23"/>
      <c r="AJ9" s="23"/>
      <c r="AK9" s="31"/>
      <c r="AL9" s="31"/>
      <c r="AM9" s="31"/>
      <c r="AN9" s="23"/>
      <c r="AO9" s="23"/>
      <c r="AP9" s="23"/>
      <c r="AQ9" s="23"/>
      <c r="AR9" s="23"/>
      <c r="AS9" s="23"/>
      <c r="AT9" s="23"/>
      <c r="AU9" s="23"/>
      <c r="AV9" s="23"/>
      <c r="AW9" s="23"/>
      <c r="AX9" s="23"/>
      <c r="AY9" s="23"/>
      <c r="AZ9" s="23"/>
      <c r="BA9" s="23"/>
      <c r="BB9" s="23"/>
      <c r="BC9" s="23"/>
      <c r="BD9" s="23"/>
      <c r="BE9" s="23"/>
      <c r="BF9" s="23"/>
      <c r="BG9" s="23"/>
      <c r="BH9" s="23"/>
      <c r="BI9" s="23"/>
      <c r="BJ9" s="23"/>
      <c r="BK9" s="23"/>
      <c r="BL9" s="23"/>
      <c r="BM9" s="23"/>
      <c r="BN9" s="57"/>
      <c r="BO9" s="57"/>
      <c r="BP9" s="57"/>
      <c r="BQ9" s="57"/>
      <c r="BR9" s="57"/>
      <c r="BS9" s="57"/>
      <c r="BT9" s="57"/>
      <c r="BU9" s="57"/>
      <c r="BV9" s="57"/>
      <c r="BW9" s="57"/>
      <c r="BX9" s="57"/>
      <c r="BY9" s="57"/>
      <c r="BZ9" s="57"/>
      <c r="CA9" s="57"/>
      <c r="CB9" s="57"/>
      <c r="CC9" s="57"/>
      <c r="CD9" s="57"/>
      <c r="CE9" s="57"/>
      <c r="CF9" s="57"/>
      <c r="CG9" s="57"/>
      <c r="CH9" s="57"/>
      <c r="CI9" s="57"/>
      <c r="CJ9" s="57"/>
      <c r="CK9" s="57"/>
      <c r="CL9" s="57"/>
      <c r="CM9" s="57"/>
      <c r="CN9" s="57"/>
      <c r="CO9" s="57"/>
      <c r="CP9" s="57"/>
      <c r="CQ9" s="57"/>
      <c r="CR9" s="57"/>
      <c r="CS9" s="57"/>
      <c r="CT9" s="57"/>
      <c r="CU9" s="57"/>
      <c r="CV9" s="57"/>
      <c r="CW9" s="57"/>
      <c r="CX9" s="57"/>
      <c r="CY9" s="57"/>
      <c r="CZ9" s="57"/>
      <c r="DA9" s="57"/>
      <c r="DB9" s="57"/>
      <c r="DC9" s="57"/>
      <c r="DD9" s="57"/>
      <c r="DE9" s="57"/>
      <c r="DF9" s="57"/>
      <c r="DG9" s="57"/>
      <c r="DH9" s="57"/>
      <c r="DI9" s="57"/>
      <c r="DJ9" s="57"/>
      <c r="DK9" s="57"/>
      <c r="DL9" s="57"/>
      <c r="DM9" s="57"/>
      <c r="DN9" s="57"/>
      <c r="DO9" s="57"/>
      <c r="DP9" s="57"/>
      <c r="DQ9" s="57"/>
      <c r="DR9" s="57"/>
      <c r="DS9" s="57"/>
      <c r="DT9" s="57"/>
      <c r="DU9" s="57"/>
      <c r="DV9" s="57"/>
      <c r="DW9" s="57"/>
      <c r="DX9" s="57"/>
      <c r="DY9" s="57"/>
      <c r="DZ9" s="57"/>
      <c r="EA9" s="57"/>
      <c r="EB9" s="57"/>
      <c r="EC9" s="57"/>
      <c r="ED9" s="57"/>
      <c r="EE9" s="57"/>
      <c r="EF9" s="57"/>
      <c r="EG9" s="57"/>
      <c r="EH9" s="57"/>
      <c r="EI9" s="57"/>
      <c r="EJ9" s="57"/>
      <c r="EK9" s="57"/>
      <c r="EL9" s="57"/>
      <c r="EN9" s="57"/>
      <c r="EO9" s="58"/>
      <c r="EP9" s="57"/>
    </row>
    <row r="10" spans="1:146" s="2" customFormat="1" x14ac:dyDescent="0.25">
      <c r="A10" s="53" t="s">
        <v>6</v>
      </c>
      <c r="B10" s="8" t="s">
        <v>7</v>
      </c>
      <c r="C10" s="9" t="s">
        <v>7</v>
      </c>
      <c r="D10" s="8"/>
      <c r="E10" s="8"/>
      <c r="F10" s="10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</sheetData>
  <protectedRanges>
    <protectedRange sqref="AG9 FT9:GT9" name="Range1_5_1_1_1_1_1_1_1_1_2_3_1_1_1_1_1_3_2_6_2_2_1_3_1_1_1_2_1_1_1_2_1_1_1_1_1_1_2_1_1_1_1"/>
    <protectedRange sqref="L9:M9 AZ9:BH9 O9 AE9:AF9 BK9:BM9" name="Range1_5_1_1_1_1_1_1_1_1_2_3_1_1_1_1_1_3_2_6_2_2_1_3_1_1_1_2_1_1_1_2_1_1_1_1_1_1_2_1_1_1_1_2"/>
    <protectedRange sqref="AY9 I9:K9 N9 BI9:BJ9 AN9:AU9 AI9:AL9" name="Range1_5_1_1_1_1_1_1_1_1_2_3_1_1_1_1_1_3_2_6_2_2_1_3_1_1_1_2_1_1_1_2_1_1_1_1_1_1_2_1_1_1_1_2_1"/>
    <protectedRange sqref="AH9" name="Range1_5_1_1_1_1_1_1_1_1_2_3_1_1_1_1_1_3_2_6_2_2_1_3_1_1_1_2_1_1_1_2_1_1_1_1_1_1_2_1_1_1_1_5_1"/>
    <protectedRange sqref="AV9:AX9" name="Range1_5_1_1_1_1_1_1_1_1_2_3_1_1_1_1_1_3_2_6_2_2_1_3_1_1_1_2_1_1_1_2_1_1_1_1_1_1_1_1_1_1_1_1_1_1_1_1_3_1_2"/>
    <protectedRange sqref="GU9" name="Range1_5_1_1_1_1_1_1_1_1_2_3_1_1_1_1_1_3_2_6_2_2_1_3_1_1_1_2_1_1_1_2_1_1_1_1_1_1_2_1_1_1_1_5"/>
  </protectedRanges>
  <mergeCells count="3">
    <mergeCell ref="O3:P3"/>
    <mergeCell ref="G4:H4"/>
    <mergeCell ref="F2:K2"/>
  </mergeCells>
  <conditionalFormatting sqref="A10:A1048576 A1:A8">
    <cfRule type="duplicateValues" dxfId="0" priority="1"/>
  </conditionalFormatting>
  <dataValidations count="2">
    <dataValidation type="list" allowBlank="1" showInputMessage="1" showErrorMessage="1" sqref="N3 F4">
      <formula1>"start-with, end-with,contins"</formula1>
    </dataValidation>
    <dataValidation type="list" allowBlank="1" showInputMessage="1" showErrorMessage="1" sqref="K4">
      <formula1>"xlsx,xls"</formula1>
    </dataValidation>
  </dataValidations>
  <hyperlinks>
    <hyperlink ref="F2" r:id="rId1" display="\\rb.win2k.dom\shares\i-DepShares\production\Daily  production report (Burullus)"/>
  </hyperlinks>
  <pageMargins left="0.7" right="0.7" top="0.75" bottom="0.75" header="0.3" footer="0.3"/>
  <pageSetup orientation="portrait" r:id="rId2"/>
  <drawing r:id="rId3"/>
  <legacy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Data</vt:lpstr>
      <vt:lpstr>My_Rng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Mahmoud A.Aziz Yusuf</dc:creator>
  <cp:lastModifiedBy>Mahmoud A.Aziz Yusuf</cp:lastModifiedBy>
  <dcterms:created xsi:type="dcterms:W3CDTF">2022-03-03T14:35:07Z</dcterms:created>
  <dcterms:modified xsi:type="dcterms:W3CDTF">2025-01-26T23:21:03Z</dcterms:modified>
</cp:coreProperties>
</file>